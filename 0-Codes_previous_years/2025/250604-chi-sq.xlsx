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<sst xmlns="http://schemas.openxmlformats.org/spreadsheetml/2006/main" count="18" uniqueCount="6">
  <si>
    <t xml:space="preserve">Test of Independence (Chi-Square)</t>
  </si>
  <si>
    <t xml:space="preserve">Alpha</t>
  </si>
  <si>
    <t xml:space="preserve">df</t>
  </si>
  <si>
    <t xml:space="preserve">P-value</t>
  </si>
  <si>
    <t xml:space="preserve">Test Statistic</t>
  </si>
  <si>
    <t xml:space="preserve">Critical Value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</si>
</sst>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8:L25"/>
  <sheetViews>
    <sheetView showFormulas="false" showGridLines="true" showRowColHeaders="true" showZeros="true" rightToLeft="false" tabSelected="true" showOutlineSymbols="true" defaultGridColor="true" view="normal" topLeftCell="A4" colorId="64" zoomScale="150" zoomScaleNormal="150" zoomScalePageLayoutView="100" workbookViewId="0">
      <selection pane="topLeft" activeCell="C8" activeCellId="0" sqref="C8"/>
    </sheetView>
  </sheetViews>
  <sheetFormatPr defaultColWidth="11.53515625" defaultRowHeight="12.8" zeroHeight="false" outlineLevelRow="0" outlineLevelCol="0"/>
  <sheetData>
    <row r="8" customFormat="false" ht="12.8" hidden="false" customHeight="false" outlineLevel="0" collapsed="false">
      <c r="C8" s="0" t="n">
        <v>14</v>
      </c>
      <c r="D8" s="0" t="n">
        <v>42</v>
      </c>
      <c r="E8" s="0" t="n">
        <v>18</v>
      </c>
      <c r="F8" s="0" t="n">
        <f aca="false">SUM(C8:E8)</f>
        <v>74</v>
      </c>
    </row>
    <row r="9" customFormat="false" ht="12.8" hidden="false" customHeight="false" outlineLevel="0" collapsed="false">
      <c r="C9" s="0" t="n">
        <v>12</v>
      </c>
      <c r="D9" s="0" t="n">
        <v>28</v>
      </c>
      <c r="E9" s="0" t="n">
        <v>7</v>
      </c>
      <c r="F9" s="0" t="n">
        <f aca="false">SUM(C9:E9)</f>
        <v>47</v>
      </c>
    </row>
    <row r="10" customFormat="false" ht="12.8" hidden="false" customHeight="false" outlineLevel="0" collapsed="false">
      <c r="C10" s="0" t="n">
        <f aca="false">SUM(C8:C9)</f>
        <v>26</v>
      </c>
      <c r="D10" s="0" t="n">
        <f aca="false">SUM(D8:D9)</f>
        <v>70</v>
      </c>
      <c r="E10" s="0" t="n">
        <f aca="false">SUM(E8:E9)</f>
        <v>25</v>
      </c>
      <c r="F10" s="0" t="n">
        <f aca="false">SUM(F8:F9)</f>
        <v>121</v>
      </c>
      <c r="K10" s="1" t="s">
        <v>0</v>
      </c>
    </row>
    <row r="11" customFormat="false" ht="12.8" hidden="false" customHeight="false" outlineLevel="0" collapsed="false">
      <c r="K11" s="0" t="s">
        <v>1</v>
      </c>
      <c r="L11" s="0" t="n">
        <v>0.01</v>
      </c>
    </row>
    <row r="12" customFormat="false" ht="12.8" hidden="false" customHeight="false" outlineLevel="0" collapsed="false">
      <c r="K12" s="0" t="s">
        <v>2</v>
      </c>
      <c r="L12" s="0" t="n">
        <f aca="false">(COLUMNS(Sheet1!$C$8:$E$9) - 1) * (ROWS(Sheet1!$C$8:$E$9) - 1)</f>
        <v>2</v>
      </c>
    </row>
    <row r="13" customFormat="false" ht="12.8" hidden="false" customHeight="false" outlineLevel="0" collapsed="false">
      <c r="C13" s="2" t="n">
        <f aca="false">$F8*C$10/$F$10</f>
        <v>15.900826446281</v>
      </c>
      <c r="D13" s="2" t="n">
        <f aca="false">$F8*D$10/$F$10</f>
        <v>42.8099173553719</v>
      </c>
      <c r="E13" s="2" t="n">
        <f aca="false">$F8*E$10/$F$10</f>
        <v>15.2892561983471</v>
      </c>
      <c r="K13" s="0" t="s">
        <v>3</v>
      </c>
      <c r="L13" s="0" t="n">
        <f aca="false">CHITEST(Sheet1!$C$8:$E$9, MMULT(MMULT(Sheet1!$C$8:$E$9,TRANSPOSE(IF(COLUMN(Sheet1!$C$8:$E$9),TRUE()))),MMULT(TRANSPOSE(IF(ROW(Sheet1!$C$8:$E$9),TRUE())),Sheet1!$C$8:$E$9)) / SUM(Sheet1!$C$8:$E$9))</f>
        <v>0.394208123364779</v>
      </c>
    </row>
    <row r="14" customFormat="false" ht="12.8" hidden="false" customHeight="false" outlineLevel="0" collapsed="false">
      <c r="C14" s="2" t="n">
        <f aca="false">$F9*C$10/$F$10</f>
        <v>10.099173553719</v>
      </c>
      <c r="D14" s="2" t="n">
        <f aca="false">$F9*D$10/$F$10</f>
        <v>27.1900826446281</v>
      </c>
      <c r="E14" s="2" t="n">
        <f aca="false">$F9*E$10/$F$10</f>
        <v>9.71074380165289</v>
      </c>
      <c r="K14" s="0" t="s">
        <v>4</v>
      </c>
      <c r="L14" s="0" t="n">
        <f aca="false">CHIINV(Sheet1!$L$13, Sheet1!$L$12)</f>
        <v>1.86175255451851</v>
      </c>
    </row>
    <row r="15" customFormat="false" ht="12.8" hidden="false" customHeight="false" outlineLevel="0" collapsed="false">
      <c r="K15" s="0" t="s">
        <v>5</v>
      </c>
      <c r="L15" s="0" t="n">
        <f aca="false">CHIINV(Sheet1!$L$11, Sheet1!$L$12)</f>
        <v>9.21034037197618</v>
      </c>
    </row>
    <row r="17" customFormat="false" ht="12.8" hidden="false" customHeight="false" outlineLevel="0" collapsed="false">
      <c r="C17" s="0" t="n">
        <f aca="false">(C13-C8)^2/C13</f>
        <v>0.22722977268432</v>
      </c>
      <c r="D17" s="0" t="n">
        <f aca="false">(D13-D8)^2/D13</f>
        <v>0.0153227607773062</v>
      </c>
      <c r="E17" s="0" t="n">
        <f aca="false">(E13-E8)^2/E13</f>
        <v>0.480607549698461</v>
      </c>
      <c r="L17" s="0" t="n">
        <f aca="false">_xlfn.CHISQ.TEST($C$8:$E$9,$C$13:$E$14)</f>
        <v>0.394208123364777</v>
      </c>
    </row>
    <row r="18" customFormat="false" ht="12.8" hidden="false" customHeight="false" outlineLevel="0" collapsed="false">
      <c r="C18" s="0" t="n">
        <f aca="false">(C14-C9)^2/C14</f>
        <v>0.35776602507744</v>
      </c>
      <c r="D18" s="0" t="n">
        <f aca="false">(D14-D9)^2/D14</f>
        <v>0.0241251978195886</v>
      </c>
      <c r="E18" s="0" t="n">
        <f aca="false">(E14-E9)^2/E14</f>
        <v>0.756701248461402</v>
      </c>
      <c r="L18" s="0" t="n">
        <f aca="false">_xlfn.CHISQ.INV(0.394208123,2)</f>
        <v>1.00243757838929</v>
      </c>
    </row>
    <row r="19" customFormat="false" ht="12.8" hidden="false" customHeight="false" outlineLevel="0" collapsed="false">
      <c r="F19" s="0" t="n">
        <f aca="false">SUM(C17:E18)</f>
        <v>1.86175255451852</v>
      </c>
      <c r="L19" s="0" t="n">
        <f aca="false">CHIINV(0.394208123,2)</f>
        <v>1.8617525563692</v>
      </c>
    </row>
    <row r="20" customFormat="false" ht="12.8" hidden="false" customHeight="false" outlineLevel="0" collapsed="false">
      <c r="L20" s="0" t="n">
        <f aca="false">_xlfn.CHISQ.INV.RT(0.394208123,2)</f>
        <v>1.8617525563692</v>
      </c>
    </row>
    <row r="24" customFormat="false" ht="12.8" hidden="false" customHeight="false" outlineLevel="0" collapsed="false">
      <c r="G24" s="0" t="n">
        <v>5.99</v>
      </c>
      <c r="H24" s="0" t="n">
        <f aca="false">_xlfn.CHISQ.INV(0.95,2)</f>
        <v>5.99146454710798</v>
      </c>
      <c r="I24" s="0" t="n">
        <f aca="false">_xlfn.CHISQ.INV.RT(0.05,2)</f>
        <v>5.99146454710798</v>
      </c>
      <c r="L24" s="0" t="n">
        <f aca="false">_xlfn.CHISQ.TEST($C$8:$E$9,$C$13:$E$14)</f>
        <v>0.394208123364777</v>
      </c>
    </row>
    <row r="25" customFormat="false" ht="12.8" hidden="false" customHeight="false" outlineLevel="0" collapsed="false">
      <c r="G25" s="0" t="n">
        <v>9.21</v>
      </c>
      <c r="H25" s="0" t="n">
        <f aca="false">_xlfn.CHISQ.INV(0.99,2)</f>
        <v>9.21034037197618</v>
      </c>
      <c r="I25" s="0" t="n">
        <f aca="false">_xlfn.CHISQ.INV.RT(0.01, 2)</f>
        <v>9.21034037197618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D7:K18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D7" activeCellId="0" sqref="D7"/>
    </sheetView>
  </sheetViews>
  <sheetFormatPr defaultColWidth="11.53515625" defaultRowHeight="12.8" zeroHeight="false" outlineLevelRow="0" outlineLevelCol="0"/>
  <sheetData>
    <row r="7" customFormat="false" ht="12.8" hidden="false" customHeight="false" outlineLevel="0" collapsed="false">
      <c r="D7" s="0" t="n">
        <v>14</v>
      </c>
      <c r="E7" s="0" t="n">
        <v>42</v>
      </c>
      <c r="F7" s="0" t="n">
        <v>18</v>
      </c>
    </row>
    <row r="8" customFormat="false" ht="12.8" hidden="false" customHeight="false" outlineLevel="0" collapsed="false">
      <c r="D8" s="0" t="n">
        <v>12</v>
      </c>
      <c r="E8" s="0" t="n">
        <v>28</v>
      </c>
      <c r="F8" s="0" t="n">
        <v>7</v>
      </c>
      <c r="J8" s="1" t="s">
        <v>0</v>
      </c>
    </row>
    <row r="9" customFormat="false" ht="12.8" hidden="false" customHeight="false" outlineLevel="0" collapsed="false">
      <c r="J9" s="0" t="s">
        <v>1</v>
      </c>
      <c r="K9" s="0" t="n">
        <v>0.05</v>
      </c>
    </row>
    <row r="10" customFormat="false" ht="12.8" hidden="false" customHeight="false" outlineLevel="0" collapsed="false">
      <c r="J10" s="0" t="s">
        <v>2</v>
      </c>
      <c r="K10" s="0" t="n">
        <f aca="false">(COLUMNS(Sheet2!$D$7:$F$8) - 1) * (ROWS(Sheet2!$D$7:$F$8) - 1)</f>
        <v>2</v>
      </c>
    </row>
    <row r="11" customFormat="false" ht="12.8" hidden="false" customHeight="false" outlineLevel="0" collapsed="false">
      <c r="J11" s="0" t="s">
        <v>3</v>
      </c>
      <c r="K11" s="0" t="n">
        <f aca="false">CHITEST(Sheet2!$D$7:$F$8, MMULT(MMULT(Sheet2!$D$7:$F$8,TRANSPOSE(IF(COLUMN(Sheet2!$D$7:$F$8),TRUE()))),MMULT(TRANSPOSE(IF(ROW(Sheet2!$D$7:$F$8),TRUE())),Sheet2!$D$7:$F$8)) / SUM(Sheet2!$D$7:$F$8))</f>
        <v>0.394208123364779</v>
      </c>
    </row>
    <row r="12" customFormat="false" ht="12.8" hidden="false" customHeight="false" outlineLevel="0" collapsed="false">
      <c r="J12" s="0" t="s">
        <v>4</v>
      </c>
      <c r="K12" s="0" t="n">
        <f aca="false">CHIINV(Sheet2!$K$11, Sheet2!$K$10)</f>
        <v>1.86175255451851</v>
      </c>
    </row>
    <row r="13" customFormat="false" ht="12.8" hidden="false" customHeight="false" outlineLevel="0" collapsed="false">
      <c r="E13" s="1" t="s">
        <v>0</v>
      </c>
      <c r="J13" s="0" t="s">
        <v>5</v>
      </c>
      <c r="K13" s="0" t="n">
        <f aca="false">CHIINV(Sheet2!$K$9, Sheet2!$K$10)</f>
        <v>5.99146454710798</v>
      </c>
    </row>
    <row r="14" customFormat="false" ht="12.8" hidden="false" customHeight="false" outlineLevel="0" collapsed="false">
      <c r="E14" s="0" t="s">
        <v>1</v>
      </c>
      <c r="F14" s="0" t="n">
        <v>0.05</v>
      </c>
    </row>
    <row r="15" customFormat="false" ht="12.8" hidden="false" customHeight="false" outlineLevel="0" collapsed="false">
      <c r="E15" s="0" t="s">
        <v>2</v>
      </c>
      <c r="F15" s="0" t="n">
        <f aca="false">(COLUMNS(Sheet2!$D$7:$F$8) - 1) * (ROWS(Sheet2!$D$7:$F$8) - 1)</f>
        <v>2</v>
      </c>
    </row>
    <row r="16" customFormat="false" ht="12.8" hidden="false" customHeight="false" outlineLevel="0" collapsed="false">
      <c r="E16" s="0" t="s">
        <v>3</v>
      </c>
      <c r="F16" s="0" t="n">
        <f aca="false">CHITEST(Sheet2!$D$7:$F$8, MMULT(MMULT(Sheet2!$D$7:$F$8,TRANSPOSE(IF(COLUMN(Sheet2!$D$7:$F$8),TRUE()))),MMULT(TRANSPOSE(IF(ROW(Sheet2!$D$7:$F$8),TRUE())),Sheet2!$D$7:$F$8)) / SUM(Sheet2!$D$7:$F$8))</f>
        <v>0.394208123364779</v>
      </c>
    </row>
    <row r="17" customFormat="false" ht="12.8" hidden="false" customHeight="false" outlineLevel="0" collapsed="false">
      <c r="E17" s="0" t="s">
        <v>4</v>
      </c>
      <c r="F17" s="0" t="n">
        <f aca="false">CHIINV(Sheet2!$F$16, Sheet2!$F$15)</f>
        <v>1.86175255451851</v>
      </c>
    </row>
    <row r="18" customFormat="false" ht="12.8" hidden="false" customHeight="false" outlineLevel="0" collapsed="false">
      <c r="E18" s="0" t="s">
        <v>5</v>
      </c>
      <c r="F18" s="0" t="n">
        <f aca="false">CHIINV(Sheet2!$F$14, Sheet2!$F$15)</f>
        <v>5.99146454710798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E12:H22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H23" activeCellId="0" sqref="H23"/>
    </sheetView>
  </sheetViews>
  <sheetFormatPr defaultColWidth="11.53515625" defaultRowHeight="12.8" zeroHeight="false" outlineLevelRow="0" outlineLevelCol="0"/>
  <sheetData>
    <row r="12" customFormat="false" ht="12.8" hidden="false" customHeight="false" outlineLevel="0" collapsed="false">
      <c r="E12" s="0" t="n">
        <v>14</v>
      </c>
      <c r="F12" s="0" t="n">
        <v>42</v>
      </c>
      <c r="G12" s="0" t="n">
        <v>18</v>
      </c>
      <c r="H12" s="0" t="n">
        <f aca="false">SUM(E12:G12)</f>
        <v>74</v>
      </c>
    </row>
    <row r="13" customFormat="false" ht="12.8" hidden="false" customHeight="false" outlineLevel="0" collapsed="false">
      <c r="E13" s="0" t="n">
        <v>12</v>
      </c>
      <c r="F13" s="0" t="n">
        <v>28</v>
      </c>
      <c r="G13" s="0" t="n">
        <v>7</v>
      </c>
      <c r="H13" s="0" t="n">
        <f aca="false">SUM(E13:G13)</f>
        <v>47</v>
      </c>
    </row>
    <row r="14" customFormat="false" ht="12.8" hidden="false" customHeight="false" outlineLevel="0" collapsed="false">
      <c r="E14" s="0" t="n">
        <f aca="false">SUM(E12:E13)</f>
        <v>26</v>
      </c>
      <c r="F14" s="0" t="n">
        <f aca="false">SUM(F12:F13)</f>
        <v>70</v>
      </c>
      <c r="G14" s="0" t="n">
        <f aca="false">SUM(G12:G13)</f>
        <v>25</v>
      </c>
      <c r="H14" s="0" t="n">
        <f aca="false">SUM(H12:H13)</f>
        <v>121</v>
      </c>
    </row>
    <row r="16" customFormat="false" ht="12.8" hidden="false" customHeight="false" outlineLevel="0" collapsed="false">
      <c r="E16" s="3" t="n">
        <f aca="false">$H12*E$14/$H$14</f>
        <v>15.900826446281</v>
      </c>
      <c r="F16" s="3" t="n">
        <f aca="false">$H12*F$14/$H$14</f>
        <v>42.8099173553719</v>
      </c>
      <c r="G16" s="3" t="n">
        <f aca="false">$H12*G$14/$H$14</f>
        <v>15.2892561983471</v>
      </c>
    </row>
    <row r="17" customFormat="false" ht="12.8" hidden="false" customHeight="false" outlineLevel="0" collapsed="false">
      <c r="E17" s="3" t="n">
        <f aca="false">$H13*E$14/$H$14</f>
        <v>10.099173553719</v>
      </c>
      <c r="F17" s="3" t="n">
        <f aca="false">$H13*F$14/$H$14</f>
        <v>27.1900826446281</v>
      </c>
      <c r="G17" s="3" t="n">
        <f aca="false">$H13*G$14/$H$14</f>
        <v>9.71074380165289</v>
      </c>
    </row>
    <row r="20" customFormat="false" ht="12.8" hidden="false" customHeight="false" outlineLevel="0" collapsed="false">
      <c r="E20" s="0" t="n">
        <f aca="false">(E12-E16)^2/E16</f>
        <v>0.22722977268432</v>
      </c>
      <c r="F20" s="0" t="n">
        <f aca="false">(F12-F16)^2/F16</f>
        <v>0.0153227607773062</v>
      </c>
      <c r="G20" s="0" t="n">
        <f aca="false">(G12-G16)^2/G16</f>
        <v>0.480607549698461</v>
      </c>
    </row>
    <row r="21" customFormat="false" ht="12.8" hidden="false" customHeight="false" outlineLevel="0" collapsed="false">
      <c r="E21" s="0" t="n">
        <f aca="false">(E13-E17)^2/E17</f>
        <v>0.35776602507744</v>
      </c>
      <c r="F21" s="0" t="n">
        <f aca="false">(F13-F17)^2/F17</f>
        <v>0.0241251978195886</v>
      </c>
      <c r="G21" s="0" t="n">
        <f aca="false">(G13-G17)^2/G17</f>
        <v>0.756701248461402</v>
      </c>
    </row>
    <row r="22" customFormat="false" ht="12.8" hidden="false" customHeight="false" outlineLevel="0" collapsed="false">
      <c r="H22" s="0" t="n">
        <f aca="false">SUM(E20:G21)</f>
        <v>1.86175255451852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2025-06-04T11:09:17Z</dcterms:created>
  <dc:creator/>
  <dc:description/>
  <dc:language>en-US</dc:language>
  <cp:lastModifiedBy/>
  <dcterms:modified xsi:type="dcterms:W3CDTF">2025-06-04T11:58:51Z</dcterms:modified>
  <cp:revision>1</cp:revision>
  <dc:subject/>
  <dc:title/>
</cp:coreProperties>
</file>